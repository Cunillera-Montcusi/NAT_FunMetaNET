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cologia\Documents\ARTICLES\NAT_FunMetaNET\data\Lakes\"/>
    </mc:Choice>
  </mc:AlternateContent>
  <xr:revisionPtr revIDLastSave="0" documentId="8_{DC96C7DE-9592-482B-90B1-4FE4AAD3C43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etadata" sheetId="4" r:id="rId1"/>
    <sheet name="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3" l="1"/>
  <c r="D57" i="3"/>
  <c r="E55" i="3"/>
  <c r="D55" i="3"/>
  <c r="E54" i="3"/>
  <c r="D54" i="3"/>
  <c r="E53" i="3"/>
  <c r="D53" i="3"/>
  <c r="E50" i="3"/>
  <c r="D50" i="3"/>
  <c r="E47" i="3"/>
  <c r="D47" i="3"/>
  <c r="E46" i="3"/>
  <c r="D46" i="3"/>
  <c r="E44" i="3"/>
  <c r="D44" i="3"/>
  <c r="E43" i="3"/>
  <c r="D43" i="3"/>
  <c r="E41" i="3"/>
  <c r="D41" i="3"/>
</calcChain>
</file>

<file path=xl/sharedStrings.xml><?xml version="1.0" encoding="utf-8"?>
<sst xmlns="http://schemas.openxmlformats.org/spreadsheetml/2006/main" count="78" uniqueCount="72">
  <si>
    <t>Lake</t>
  </si>
  <si>
    <t>Lat</t>
  </si>
  <si>
    <t>Lon</t>
  </si>
  <si>
    <t>Älgarydssjön</t>
  </si>
  <si>
    <t>Älgsjön</t>
  </si>
  <si>
    <t>Allgjuttern</t>
  </si>
  <si>
    <t>Alsjön</t>
  </si>
  <si>
    <t>Bäen</t>
  </si>
  <si>
    <t>Bästeträsk</t>
  </si>
  <si>
    <t>Bjännsjön</t>
  </si>
  <si>
    <t>Björken</t>
  </si>
  <si>
    <t>Brunnsjön</t>
  </si>
  <si>
    <t>Bysjön</t>
  </si>
  <si>
    <t>Dagarn</t>
  </si>
  <si>
    <t>Djupa Holmsjön</t>
  </si>
  <si>
    <t>Ekholmssjön</t>
  </si>
  <si>
    <t>Fagertärn</t>
  </si>
  <si>
    <t>Fiolen</t>
  </si>
  <si>
    <t>Fjärasjö</t>
  </si>
  <si>
    <t>Fräcksjön</t>
  </si>
  <si>
    <t>Fysingen</t>
  </si>
  <si>
    <t>Gipsjön</t>
  </si>
  <si>
    <t>Grissjön</t>
  </si>
  <si>
    <t>Hagasjön</t>
  </si>
  <si>
    <t>Hällvattnet</t>
  </si>
  <si>
    <t>Harasjön</t>
  </si>
  <si>
    <t>Havgårdssjön</t>
  </si>
  <si>
    <t>Hinnasjön</t>
  </si>
  <si>
    <t>Hjärtsjön</t>
  </si>
  <si>
    <t>Jutsajaure</t>
  </si>
  <si>
    <t>Krankesjön</t>
  </si>
  <si>
    <t>Lilla Öresjön</t>
  </si>
  <si>
    <t>Lillesjö</t>
  </si>
  <si>
    <t>Lillsjön</t>
  </si>
  <si>
    <t>Limmingsjön</t>
  </si>
  <si>
    <t>N. Yngern</t>
  </si>
  <si>
    <t>Örsjön</t>
  </si>
  <si>
    <t>Örvattnet</t>
  </si>
  <si>
    <t>Översjön</t>
  </si>
  <si>
    <t>Överudssjön</t>
  </si>
  <si>
    <t>Övre Skärsjön</t>
  </si>
  <si>
    <t>Rundbosjön</t>
  </si>
  <si>
    <t>Sännen</t>
  </si>
  <si>
    <t>Skärgölen</t>
  </si>
  <si>
    <t>Spjutsjön</t>
  </si>
  <si>
    <t>St Skärsjön</t>
  </si>
  <si>
    <t>Stensjön</t>
  </si>
  <si>
    <t>Stora Envättern</t>
  </si>
  <si>
    <t>Stor-Arasjön</t>
  </si>
  <si>
    <t>Storasjö</t>
  </si>
  <si>
    <t>Svinarydsjön</t>
  </si>
  <si>
    <t>Täftesträsket</t>
  </si>
  <si>
    <t>Tångerdasjön</t>
  </si>
  <si>
    <t>Tängersjö</t>
  </si>
  <si>
    <t>Tärnan</t>
  </si>
  <si>
    <t>Tväringen</t>
  </si>
  <si>
    <t>Ulvsjön</t>
  </si>
  <si>
    <t>V. Rännöbodsjön</t>
  </si>
  <si>
    <t>Valasjön</t>
  </si>
  <si>
    <t>lake name</t>
  </si>
  <si>
    <t>latitude</t>
  </si>
  <si>
    <t>longitude</t>
  </si>
  <si>
    <t>Units</t>
  </si>
  <si>
    <t>decimal degrees</t>
  </si>
  <si>
    <t>hectares</t>
  </si>
  <si>
    <t>km</t>
  </si>
  <si>
    <t>open water surfaces, so substracting islands</t>
  </si>
  <si>
    <t>total shoreline, considering also islands shoreline</t>
  </si>
  <si>
    <t>surface</t>
  </si>
  <si>
    <t>shoreline</t>
  </si>
  <si>
    <t>variable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</si>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</sst>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724-03A9-4FBE-8A37-80E91269FD98}">
  <dimension ref="A1:C6"/>
  <sheetViews>
    <sheetView workbookViewId="0">
      <selection activeCell="B11" sqref="B11"/>
    </sheetView>
  </sheetViews>
  <sheetFormatPr baseColWidth="10" defaultRowHeight="14.5" x14ac:dyDescent="0.35"/>
  <cols>
    <col min="2" max="2" width="42" bestFit="1" customWidth="1"/>
  </cols>
  <sheetData>
    <row r="1" spans="1:3" x14ac:dyDescent="0.35">
      <c r="A1" s="1" t="s">
        <v>70</v>
      </c>
      <c r="B1" s="1" t="s">
        <v>71</v>
      </c>
      <c r="C1" s="1" t="s">
        <v>62</v>
      </c>
    </row>
    <row r="2" spans="1:3" x14ac:dyDescent="0.35">
      <c r="A2" t="s">
        <v>0</v>
      </c>
      <c r="B2" t="s">
        <v>59</v>
      </c>
    </row>
    <row r="3" spans="1:3" x14ac:dyDescent="0.35">
      <c r="A3" t="s">
        <v>1</v>
      </c>
      <c r="B3" t="s">
        <v>60</v>
      </c>
      <c r="C3" t="s">
        <v>63</v>
      </c>
    </row>
    <row r="4" spans="1:3" x14ac:dyDescent="0.35">
      <c r="A4" t="s">
        <v>2</v>
      </c>
      <c r="B4" t="s">
        <v>61</v>
      </c>
      <c r="C4" t="s">
        <v>63</v>
      </c>
    </row>
    <row r="5" spans="1:3" x14ac:dyDescent="0.35">
      <c r="A5" t="s">
        <v>68</v>
      </c>
      <c r="B5" t="s">
        <v>66</v>
      </c>
      <c r="C5" t="s">
        <v>64</v>
      </c>
    </row>
    <row r="6" spans="1:3" x14ac:dyDescent="0.35">
      <c r="A6" t="s">
        <v>69</v>
      </c>
      <c r="B6" t="s">
        <v>67</v>
      </c>
      <c r="C6" t="s">
        <v>65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A277-D9F9-4D71-ABD4-4884D0686F0A}">
  <dimension ref="A1:E57"/>
  <sheetViews>
    <sheetView tabSelected="1" topLeftCell="A52" zoomScale="148" zoomScaleNormal="148" workbookViewId="0">
      <selection activeCell="C61" sqref="C6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68</v>
      </c>
      <c r="E1" t="s">
        <v>69</v>
      </c>
    </row>
    <row r="2" spans="1:5" x14ac:dyDescent="0.35">
      <c r="A2" t="s">
        <v>3</v>
      </c>
      <c r="B2">
        <v>57.175692580000003</v>
      </c>
      <c r="C2">
        <v>14.272717030000001</v>
      </c>
      <c r="D2">
        <v>33.5</v>
      </c>
      <c r="E2">
        <v>2.77</v>
      </c>
    </row>
    <row r="3" spans="1:5" x14ac:dyDescent="0.35">
      <c r="A3" t="s">
        <v>4</v>
      </c>
      <c r="B3">
        <v>59.094938020000001</v>
      </c>
      <c r="C3">
        <v>16.369400290000002</v>
      </c>
      <c r="D3">
        <v>30.94</v>
      </c>
      <c r="E3">
        <v>4.0999999999999996</v>
      </c>
    </row>
    <row r="4" spans="1:5" x14ac:dyDescent="0.35">
      <c r="A4" t="s">
        <v>5</v>
      </c>
      <c r="B4">
        <v>57.947945109999999</v>
      </c>
      <c r="C4">
        <v>16.096321769999999</v>
      </c>
      <c r="D4">
        <v>16.149999999999999</v>
      </c>
      <c r="E4">
        <v>2.34</v>
      </c>
    </row>
    <row r="5" spans="1:5" x14ac:dyDescent="0.35">
      <c r="A5" t="s">
        <v>6</v>
      </c>
      <c r="B5">
        <v>58.31509784</v>
      </c>
      <c r="C5">
        <v>12.50201227</v>
      </c>
      <c r="D5">
        <v>6</v>
      </c>
      <c r="E5">
        <v>1.17</v>
      </c>
    </row>
    <row r="6" spans="1:5" x14ac:dyDescent="0.35">
      <c r="A6" t="s">
        <v>7</v>
      </c>
      <c r="B6">
        <v>56.246004550000002</v>
      </c>
      <c r="C6">
        <v>14.377527410000001</v>
      </c>
      <c r="D6">
        <v>50.53</v>
      </c>
      <c r="E6">
        <v>9.39</v>
      </c>
    </row>
    <row r="7" spans="1:5" x14ac:dyDescent="0.35">
      <c r="A7" t="s">
        <v>8</v>
      </c>
      <c r="B7">
        <v>57.915651680000003</v>
      </c>
      <c r="C7">
        <v>18.93602143</v>
      </c>
      <c r="D7">
        <v>656.5</v>
      </c>
      <c r="E7">
        <v>16.829999999999998</v>
      </c>
    </row>
    <row r="8" spans="1:5" x14ac:dyDescent="0.35">
      <c r="A8" t="s">
        <v>9</v>
      </c>
      <c r="B8">
        <v>64.23888359</v>
      </c>
      <c r="C8">
        <v>20.438731369999999</v>
      </c>
      <c r="D8">
        <v>48.86</v>
      </c>
      <c r="E8">
        <v>3.96</v>
      </c>
    </row>
    <row r="9" spans="1:5" x14ac:dyDescent="0.35">
      <c r="A9" t="s">
        <v>10</v>
      </c>
      <c r="B9">
        <v>58.856165349999998</v>
      </c>
      <c r="C9">
        <v>17.37018582</v>
      </c>
      <c r="D9">
        <v>135.62</v>
      </c>
      <c r="E9">
        <v>7.88</v>
      </c>
    </row>
    <row r="10" spans="1:5" x14ac:dyDescent="0.35">
      <c r="A10" t="s">
        <v>11</v>
      </c>
      <c r="B10">
        <v>56.597202809999999</v>
      </c>
      <c r="C10">
        <v>15.72807059</v>
      </c>
      <c r="D10">
        <v>10.01</v>
      </c>
      <c r="E10">
        <v>1.75</v>
      </c>
    </row>
    <row r="11" spans="1:5" x14ac:dyDescent="0.35">
      <c r="A11" t="s">
        <v>12</v>
      </c>
      <c r="B11">
        <v>59.302379260000002</v>
      </c>
      <c r="C11">
        <v>12.33991322</v>
      </c>
      <c r="D11">
        <v>112.64</v>
      </c>
      <c r="E11">
        <v>8.23</v>
      </c>
    </row>
    <row r="12" spans="1:5" x14ac:dyDescent="0.35">
      <c r="A12" t="s">
        <v>13</v>
      </c>
      <c r="B12">
        <v>59.89696781</v>
      </c>
      <c r="C12">
        <v>15.6866801</v>
      </c>
      <c r="D12">
        <v>164.92</v>
      </c>
      <c r="E12">
        <v>7.95</v>
      </c>
    </row>
    <row r="13" spans="1:5" x14ac:dyDescent="0.35">
      <c r="A13" t="s">
        <v>14</v>
      </c>
      <c r="B13">
        <v>59.179151859999997</v>
      </c>
      <c r="C13">
        <v>17.023012250000001</v>
      </c>
      <c r="D13">
        <v>18.87</v>
      </c>
      <c r="E13">
        <v>3.66</v>
      </c>
    </row>
    <row r="14" spans="1:5" x14ac:dyDescent="0.35">
      <c r="A14" t="s">
        <v>15</v>
      </c>
      <c r="B14">
        <v>59.865211090000003</v>
      </c>
      <c r="C14">
        <v>17.041553069999999</v>
      </c>
      <c r="D14">
        <v>54.42</v>
      </c>
      <c r="E14">
        <v>4.42</v>
      </c>
    </row>
    <row r="15" spans="1:5" x14ac:dyDescent="0.35">
      <c r="A15" t="s">
        <v>16</v>
      </c>
      <c r="B15">
        <v>58.757759270000001</v>
      </c>
      <c r="C15">
        <v>14.702844369999999</v>
      </c>
      <c r="D15">
        <v>20.21</v>
      </c>
      <c r="E15">
        <v>3.46</v>
      </c>
    </row>
    <row r="16" spans="1:5" x14ac:dyDescent="0.35">
      <c r="A16" t="s">
        <v>17</v>
      </c>
      <c r="B16">
        <v>57.091988749999999</v>
      </c>
      <c r="C16">
        <v>14.52958559</v>
      </c>
      <c r="D16">
        <v>158.84</v>
      </c>
      <c r="E16">
        <v>7.15</v>
      </c>
    </row>
    <row r="17" spans="1:5" x14ac:dyDescent="0.35">
      <c r="A17" t="s">
        <v>18</v>
      </c>
      <c r="B17">
        <v>57.609093129999998</v>
      </c>
      <c r="C17">
        <v>15.249297540000001</v>
      </c>
      <c r="D17">
        <v>33.86</v>
      </c>
      <c r="E17">
        <v>3.59</v>
      </c>
    </row>
    <row r="18" spans="1:5" x14ac:dyDescent="0.35">
      <c r="A18" t="s">
        <v>19</v>
      </c>
      <c r="B18">
        <v>58.148151579999997</v>
      </c>
      <c r="C18">
        <v>12.181194380000001</v>
      </c>
      <c r="D18">
        <v>26.27</v>
      </c>
      <c r="E18">
        <v>3.75</v>
      </c>
    </row>
    <row r="19" spans="1:5" x14ac:dyDescent="0.35">
      <c r="A19" t="s">
        <v>20</v>
      </c>
      <c r="B19">
        <v>59.570669729999999</v>
      </c>
      <c r="C19">
        <v>17.908103839999999</v>
      </c>
      <c r="D19">
        <v>449.4</v>
      </c>
      <c r="E19">
        <v>14.25</v>
      </c>
    </row>
    <row r="20" spans="1:5" x14ac:dyDescent="0.35">
      <c r="A20" t="s">
        <v>21</v>
      </c>
      <c r="B20">
        <v>60.645047779999999</v>
      </c>
      <c r="C20">
        <v>13.626456920000001</v>
      </c>
      <c r="D20">
        <v>65.3</v>
      </c>
      <c r="E20">
        <v>5.91</v>
      </c>
    </row>
    <row r="21" spans="1:5" x14ac:dyDescent="0.35">
      <c r="A21" t="s">
        <v>22</v>
      </c>
      <c r="B21">
        <v>58.762567660000002</v>
      </c>
      <c r="C21">
        <v>15.142132800000001</v>
      </c>
      <c r="D21">
        <v>22.47</v>
      </c>
      <c r="E21">
        <v>4.1900000000000004</v>
      </c>
    </row>
    <row r="22" spans="1:5" x14ac:dyDescent="0.35">
      <c r="A22" t="s">
        <v>23</v>
      </c>
      <c r="B22">
        <v>57.337246630000003</v>
      </c>
      <c r="C22">
        <v>13.71142536</v>
      </c>
      <c r="D22">
        <v>11.57</v>
      </c>
      <c r="E22">
        <v>1.67</v>
      </c>
    </row>
    <row r="23" spans="1:5" x14ac:dyDescent="0.35">
      <c r="A23" t="s">
        <v>24</v>
      </c>
      <c r="B23">
        <v>63.542733929999997</v>
      </c>
      <c r="C23">
        <v>17.63305269</v>
      </c>
      <c r="D23">
        <v>671.47</v>
      </c>
      <c r="E23">
        <v>26.56</v>
      </c>
    </row>
    <row r="24" spans="1:5" x14ac:dyDescent="0.35">
      <c r="A24" t="s">
        <v>25</v>
      </c>
      <c r="B24">
        <v>57.007390360000002</v>
      </c>
      <c r="C24">
        <v>13.579214459999999</v>
      </c>
      <c r="D24">
        <v>53.43</v>
      </c>
      <c r="E24">
        <v>6.36</v>
      </c>
    </row>
    <row r="25" spans="1:5" x14ac:dyDescent="0.35">
      <c r="A25" t="s">
        <v>26</v>
      </c>
      <c r="B25">
        <v>55.487976400000001</v>
      </c>
      <c r="C25">
        <v>13.35687085</v>
      </c>
      <c r="D25">
        <v>51.58</v>
      </c>
      <c r="E25">
        <v>3.38</v>
      </c>
    </row>
    <row r="26" spans="1:5" x14ac:dyDescent="0.35">
      <c r="A26" t="s">
        <v>27</v>
      </c>
      <c r="B26">
        <v>56.878100109999998</v>
      </c>
      <c r="C26">
        <v>14.928576530000001</v>
      </c>
      <c r="D26">
        <v>23.05</v>
      </c>
      <c r="E26">
        <v>3.59</v>
      </c>
    </row>
    <row r="27" spans="1:5" x14ac:dyDescent="0.35">
      <c r="A27" t="s">
        <v>28</v>
      </c>
      <c r="B27">
        <v>57.051499069999998</v>
      </c>
      <c r="C27">
        <v>15.2573361</v>
      </c>
      <c r="D27">
        <v>125.48</v>
      </c>
      <c r="E27">
        <v>6.67</v>
      </c>
    </row>
    <row r="28" spans="1:5" x14ac:dyDescent="0.35">
      <c r="A28" t="s">
        <v>29</v>
      </c>
      <c r="B28">
        <v>67.058964930000002</v>
      </c>
      <c r="C28">
        <v>19.94364727</v>
      </c>
      <c r="D28">
        <v>111.11</v>
      </c>
      <c r="E28">
        <v>5.82</v>
      </c>
    </row>
    <row r="29" spans="1:5" x14ac:dyDescent="0.35">
      <c r="A29" t="s">
        <v>30</v>
      </c>
      <c r="B29">
        <v>55.708742999999998</v>
      </c>
      <c r="C29">
        <v>13.47275316</v>
      </c>
      <c r="D29">
        <v>273.61</v>
      </c>
      <c r="E29">
        <v>8.69</v>
      </c>
    </row>
    <row r="30" spans="1:5" x14ac:dyDescent="0.35">
      <c r="A30" t="s">
        <v>31</v>
      </c>
      <c r="B30">
        <v>57.55726645</v>
      </c>
      <c r="C30">
        <v>12.33679175</v>
      </c>
      <c r="D30">
        <v>58.32</v>
      </c>
      <c r="E30">
        <v>6.97</v>
      </c>
    </row>
    <row r="31" spans="1:5" x14ac:dyDescent="0.35">
      <c r="A31" t="s">
        <v>32</v>
      </c>
      <c r="B31">
        <v>56.206193900000002</v>
      </c>
      <c r="C31">
        <v>14.53998621</v>
      </c>
      <c r="D31">
        <v>3.44</v>
      </c>
      <c r="E31">
        <v>0.75</v>
      </c>
    </row>
    <row r="32" spans="1:5" x14ac:dyDescent="0.35">
      <c r="A32" t="s">
        <v>33</v>
      </c>
      <c r="B32">
        <v>59.101733000000003</v>
      </c>
      <c r="C32">
        <v>16.806479329999998</v>
      </c>
      <c r="D32">
        <v>31.2</v>
      </c>
      <c r="E32">
        <v>2.52</v>
      </c>
    </row>
    <row r="33" spans="1:5" x14ac:dyDescent="0.35">
      <c r="A33" t="s">
        <v>34</v>
      </c>
      <c r="B33">
        <v>59.586160120000002</v>
      </c>
      <c r="C33">
        <v>14.52040379</v>
      </c>
      <c r="D33">
        <v>112.26</v>
      </c>
      <c r="E33">
        <v>6.01</v>
      </c>
    </row>
    <row r="34" spans="1:5" x14ac:dyDescent="0.35">
      <c r="A34" t="s">
        <v>35</v>
      </c>
      <c r="B34">
        <v>59.16986155</v>
      </c>
      <c r="C34">
        <v>17.408631</v>
      </c>
      <c r="D34">
        <v>1415.63</v>
      </c>
      <c r="E34">
        <v>78.89</v>
      </c>
    </row>
    <row r="35" spans="1:5" x14ac:dyDescent="0.35">
      <c r="A35" t="s">
        <v>36</v>
      </c>
      <c r="B35">
        <v>56.286360139999999</v>
      </c>
      <c r="C35">
        <v>14.685101960000001</v>
      </c>
      <c r="D35">
        <v>18.73</v>
      </c>
      <c r="E35">
        <v>3.84</v>
      </c>
    </row>
    <row r="36" spans="1:5" x14ac:dyDescent="0.35">
      <c r="A36" t="s">
        <v>37</v>
      </c>
      <c r="B36">
        <v>59.725678690000002</v>
      </c>
      <c r="C36">
        <v>12.75795701</v>
      </c>
      <c r="D36">
        <v>73.459999999999994</v>
      </c>
      <c r="E36">
        <v>9.5</v>
      </c>
    </row>
    <row r="37" spans="1:5" x14ac:dyDescent="0.35">
      <c r="A37" t="s">
        <v>38</v>
      </c>
      <c r="B37">
        <v>59.89303932</v>
      </c>
      <c r="C37">
        <v>13.33818071</v>
      </c>
      <c r="D37">
        <v>37.340000000000003</v>
      </c>
      <c r="E37">
        <v>3.07</v>
      </c>
    </row>
    <row r="38" spans="1:5" x14ac:dyDescent="0.35">
      <c r="A38" t="s">
        <v>39</v>
      </c>
      <c r="B38">
        <v>59.409458540000003</v>
      </c>
      <c r="C38">
        <v>12.98413021</v>
      </c>
      <c r="D38">
        <v>200.41</v>
      </c>
      <c r="E38">
        <v>12.3</v>
      </c>
    </row>
    <row r="39" spans="1:5" x14ac:dyDescent="0.35">
      <c r="A39" t="s">
        <v>40</v>
      </c>
      <c r="B39">
        <v>59.837084859999997</v>
      </c>
      <c r="C39">
        <v>15.550299799999999</v>
      </c>
      <c r="D39">
        <v>177.53</v>
      </c>
      <c r="E39">
        <v>11.5</v>
      </c>
    </row>
    <row r="40" spans="1:5" x14ac:dyDescent="0.35">
      <c r="A40" t="s">
        <v>41</v>
      </c>
      <c r="B40">
        <v>58.808594919999997</v>
      </c>
      <c r="C40">
        <v>17.36908583</v>
      </c>
      <c r="D40">
        <v>87.39</v>
      </c>
      <c r="E40">
        <v>6.6</v>
      </c>
    </row>
    <row r="41" spans="1:5" x14ac:dyDescent="0.35">
      <c r="A41" t="s">
        <v>42</v>
      </c>
      <c r="B41">
        <v>56.325019949999998</v>
      </c>
      <c r="C41">
        <v>15.35816369</v>
      </c>
      <c r="D41">
        <f>100.99-1.9-1</f>
        <v>98.089999999999989</v>
      </c>
      <c r="E41">
        <f>6.87+0.53+0.57</f>
        <v>7.9700000000000006</v>
      </c>
    </row>
    <row r="42" spans="1:5" x14ac:dyDescent="0.35">
      <c r="A42" t="s">
        <v>43</v>
      </c>
      <c r="B42">
        <v>58.763120479999998</v>
      </c>
      <c r="C42">
        <v>16.23389749</v>
      </c>
      <c r="D42">
        <v>16.54</v>
      </c>
      <c r="E42">
        <v>2.54</v>
      </c>
    </row>
    <row r="43" spans="1:5" x14ac:dyDescent="0.35">
      <c r="A43" t="s">
        <v>44</v>
      </c>
      <c r="B43">
        <v>60.638792559999999</v>
      </c>
      <c r="C43">
        <v>15.44527639</v>
      </c>
      <c r="D43">
        <f>39.67-0.32</f>
        <v>39.35</v>
      </c>
      <c r="E43">
        <f>3.96+0.21</f>
        <v>4.17</v>
      </c>
    </row>
    <row r="44" spans="1:5" x14ac:dyDescent="0.35">
      <c r="A44" t="s">
        <v>45</v>
      </c>
      <c r="B44">
        <v>56.671505279999998</v>
      </c>
      <c r="C44">
        <v>13.065325720000001</v>
      </c>
      <c r="D44">
        <f>30.07-0.21-0.08</f>
        <v>29.78</v>
      </c>
      <c r="E44">
        <f>4.43+0.18+0.12</f>
        <v>4.7299999999999995</v>
      </c>
    </row>
    <row r="45" spans="1:5" x14ac:dyDescent="0.35">
      <c r="A45" t="s">
        <v>46</v>
      </c>
      <c r="B45">
        <v>61.642758569999998</v>
      </c>
      <c r="C45">
        <v>16.575306680000001</v>
      </c>
      <c r="D45">
        <v>53.32</v>
      </c>
      <c r="E45">
        <v>4.07</v>
      </c>
    </row>
    <row r="46" spans="1:5" x14ac:dyDescent="0.35">
      <c r="A46" t="s">
        <v>47</v>
      </c>
      <c r="B46">
        <v>59.114946590000002</v>
      </c>
      <c r="C46">
        <v>17.353497170000001</v>
      </c>
      <c r="D46">
        <f>37.85-0.12-0.15</f>
        <v>37.580000000000005</v>
      </c>
      <c r="E46">
        <f>4.38+0.14+0.16</f>
        <v>4.68</v>
      </c>
    </row>
    <row r="47" spans="1:5" x14ac:dyDescent="0.35">
      <c r="A47" t="s">
        <v>48</v>
      </c>
      <c r="B47">
        <v>64.598565170000001</v>
      </c>
      <c r="C47">
        <v>17.6003504</v>
      </c>
      <c r="D47">
        <f>721.73-0.26</f>
        <v>721.47</v>
      </c>
      <c r="E47">
        <f>19.89+0.29</f>
        <v>20.18</v>
      </c>
    </row>
    <row r="48" spans="1:5" x14ac:dyDescent="0.35">
      <c r="A48" t="s">
        <v>49</v>
      </c>
      <c r="B48">
        <v>56.947835859999998</v>
      </c>
      <c r="C48">
        <v>15.271186139999999</v>
      </c>
      <c r="D48">
        <v>35.909999999999997</v>
      </c>
      <c r="E48">
        <v>3.32</v>
      </c>
    </row>
    <row r="49" spans="1:5" x14ac:dyDescent="0.35">
      <c r="A49" t="s">
        <v>50</v>
      </c>
      <c r="B49">
        <v>56.177464809999996</v>
      </c>
      <c r="C49">
        <v>14.937211789999999</v>
      </c>
      <c r="D49">
        <v>17.190000000000001</v>
      </c>
      <c r="E49">
        <v>2.77</v>
      </c>
    </row>
    <row r="50" spans="1:5" x14ac:dyDescent="0.35">
      <c r="A50" t="s">
        <v>51</v>
      </c>
      <c r="B50">
        <v>64.061147680000005</v>
      </c>
      <c r="C50">
        <v>20.262017589999999</v>
      </c>
      <c r="D50">
        <f>232.47-0.67-0.07-0.08-0.11-0.63-0.19-0.27-0.07-0.07-0.07</f>
        <v>230.24</v>
      </c>
      <c r="E50">
        <f>12.47+0.31+0.1+0.11+0.13+0.3+0.2+0.2+0.1+0.1+0.1</f>
        <v>14.12</v>
      </c>
    </row>
    <row r="51" spans="1:5" x14ac:dyDescent="0.35">
      <c r="A51" t="s">
        <v>52</v>
      </c>
      <c r="B51">
        <v>57.463984529999998</v>
      </c>
      <c r="C51">
        <v>15.059543400000001</v>
      </c>
      <c r="D51">
        <v>16.63</v>
      </c>
      <c r="E51">
        <v>1.87</v>
      </c>
    </row>
    <row r="52" spans="1:5" x14ac:dyDescent="0.35">
      <c r="A52" t="s">
        <v>53</v>
      </c>
      <c r="B52">
        <v>57.46609333</v>
      </c>
      <c r="C52">
        <v>16.032840910000001</v>
      </c>
      <c r="D52">
        <v>10.07</v>
      </c>
      <c r="E52">
        <v>1.71</v>
      </c>
    </row>
    <row r="53" spans="1:5" x14ac:dyDescent="0.35">
      <c r="A53" t="s">
        <v>54</v>
      </c>
      <c r="B53">
        <v>59.557037999999999</v>
      </c>
      <c r="C53">
        <v>18.36602534</v>
      </c>
      <c r="D53">
        <f>103.49-0.74</f>
        <v>102.75</v>
      </c>
      <c r="E53">
        <f>12.84+0.37</f>
        <v>13.209999999999999</v>
      </c>
    </row>
    <row r="54" spans="1:5" x14ac:dyDescent="0.35">
      <c r="A54" t="s">
        <v>55</v>
      </c>
      <c r="B54">
        <v>62.243529989999999</v>
      </c>
      <c r="C54">
        <v>15.67327384</v>
      </c>
      <c r="D54">
        <f>164.23-0.68-0.67</f>
        <v>162.88</v>
      </c>
      <c r="E54">
        <f>9.32+0.34+0.36</f>
        <v>10.02</v>
      </c>
    </row>
    <row r="55" spans="1:5" x14ac:dyDescent="0.35">
      <c r="A55" t="s">
        <v>56</v>
      </c>
      <c r="B55">
        <v>59.60976084</v>
      </c>
      <c r="C55">
        <v>12.293728870000001</v>
      </c>
      <c r="D55">
        <f>51.65-0.18-0.4</f>
        <v>51.07</v>
      </c>
      <c r="E55">
        <f>4.8+0.17+0.55</f>
        <v>5.52</v>
      </c>
    </row>
    <row r="56" spans="1:5" x14ac:dyDescent="0.35">
      <c r="A56" t="s">
        <v>57</v>
      </c>
      <c r="B56">
        <v>62.330101769999999</v>
      </c>
      <c r="C56">
        <v>16.987209159999999</v>
      </c>
      <c r="D56">
        <v>42.52</v>
      </c>
      <c r="E56">
        <v>4.78</v>
      </c>
    </row>
    <row r="57" spans="1:5" x14ac:dyDescent="0.35">
      <c r="A57" t="s">
        <v>58</v>
      </c>
      <c r="B57">
        <v>63.00245108</v>
      </c>
      <c r="C57">
        <v>17.515287409999999</v>
      </c>
      <c r="D57">
        <f>198.2-0.31</f>
        <v>197.89</v>
      </c>
      <c r="E57">
        <f>9.79+0.25</f>
        <v>10.039999999999999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Ecologia</dc:creator>
  <cp:lastModifiedBy>Ecologia</cp:lastModifiedBy>
  <dcterms:created xsi:type="dcterms:W3CDTF">2023-06-28T06:13:54Z</dcterms:created>
  <dcterms:modified xsi:type="dcterms:W3CDTF">2023-06-28T09:38:24Z</dcterms:modified>
</cp:coreProperties>
</file>